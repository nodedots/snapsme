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Income" sheetId="2" state="visible" r:id="rId4"/>
    <sheet name="Cashflow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<sst xmlns="http://schemas.openxmlformats.org/spreadsheetml/2006/main" count="450" uniqueCount="127">
  <si>
    <t xml:space="preserve">snapsme — Sample Expense Data (for import testing)</t>
  </si>
  <si>
    <t xml:space="preserve">Generated test data. Amounts and vendors are fictional. Currency: USD.</t>
  </si>
  <si>
    <t xml:space="preserve">Date</t>
  </si>
  <si>
    <t xml:space="preserve">Vendor</t>
  </si>
  <si>
    <t xml:space="preserve">Amount</t>
  </si>
  <si>
    <t xml:space="preserve">Currency</t>
  </si>
  <si>
    <t xml:space="preserve">Category</t>
  </si>
  <si>
    <t xml:space="preserve">Submitted By</t>
  </si>
  <si>
    <t xml:space="preserve">Notes</t>
  </si>
  <si>
    <t xml:space="preserve">2026-05-01</t>
  </si>
  <si>
    <t xml:space="preserve">Office Supply Depot</t>
  </si>
  <si>
    <t xml:space="preserve">USD</t>
  </si>
  <si>
    <t xml:space="preserve">Office Supplies</t>
  </si>
  <si>
    <t xml:space="preserve">Priya Nandan</t>
  </si>
  <si>
    <t xml:space="preserve">2026-05-03</t>
  </si>
  <si>
    <t xml:space="preserve">Paper &amp; Ink Co</t>
  </si>
  <si>
    <t xml:space="preserve">Alex Chen</t>
  </si>
  <si>
    <t xml:space="preserve">2026-05-04</t>
  </si>
  <si>
    <t xml:space="preserve">Rideshare Co</t>
  </si>
  <si>
    <t xml:space="preserve">Fuel &amp; Transport</t>
  </si>
  <si>
    <t xml:space="preserve">Sarah Connor</t>
  </si>
  <si>
    <t xml:space="preserve">2026-05-05</t>
  </si>
  <si>
    <t xml:space="preserve">Tech Supply Co</t>
  </si>
  <si>
    <t xml:space="preserve">Equipment</t>
  </si>
  <si>
    <t xml:space="preserve">Marcus Vance</t>
  </si>
  <si>
    <t xml:space="preserve">2026-05-06</t>
  </si>
  <si>
    <t xml:space="preserve">Hardware Depot</t>
  </si>
  <si>
    <t xml:space="preserve">Owner Account</t>
  </si>
  <si>
    <t xml:space="preserve">2026-05-07</t>
  </si>
  <si>
    <t xml:space="preserve">City Utilities</t>
  </si>
  <si>
    <t xml:space="preserve">Rent &amp; Utilities</t>
  </si>
  <si>
    <t xml:space="preserve">2026-05-08</t>
  </si>
  <si>
    <t xml:space="preserve">ProjectTools SaaS</t>
  </si>
  <si>
    <t xml:space="preserve">Software &amp; Subscriptions</t>
  </si>
  <si>
    <t xml:space="preserve">2026-05-10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</si>
  <si>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</si>
  <si>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</si>
  <si>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</si>
  <si>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</si>
  <si>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2026-05-17</t>
  </si>
  <si>
    <t xml:space="preserve">2026-05-18</t>
  </si>
  <si>
    <t xml:space="preserve">2026-05-19</t>
  </si>
  <si>
    <t xml:space="preserve">Riverside Cafe</t>
  </si>
  <si>
    <t xml:space="preserve">Client Entertainment</t>
  </si>
  <si>
    <t xml:space="preserve">2026-05-21</t>
  </si>
  <si>
    <t xml:space="preserve">2026-05-22</t>
  </si>
  <si>
    <t xml:space="preserve">CloudHost Subscriptions</t>
  </si>
  <si>
    <t xml:space="preserve">2026-05-23</t>
  </si>
  <si>
    <t xml:space="preserve">2026-05-24</t>
  </si>
  <si>
    <t xml:space="preserve">City Gas Station</t>
  </si>
  <si>
    <t xml:space="preserve">2026-05-25</t>
  </si>
  <si>
    <t xml:space="preserve">Office Landlord LLC</t>
  </si>
  <si>
    <t xml:space="preserve">2026-05-26</t>
  </si>
  <si>
    <t xml:space="preserve">2026-05-28</t>
  </si>
  <si>
    <t xml:space="preserve">Downtown Bistro</t>
  </si>
  <si>
    <t xml:space="preserve">2026-05-29</t>
  </si>
  <si>
    <t xml:space="preserve">Fuel Stop</t>
  </si>
  <si>
    <t xml:space="preserve">2026-05-30</t>
  </si>
  <si>
    <t xml:space="preserve">2026-06-01</t>
  </si>
  <si>
    <t xml:space="preserve">2026-06-04</t>
  </si>
  <si>
    <t xml:space="preserve">2026-06-05</t>
  </si>
  <si>
    <t xml:space="preserve">2026-06-06</t>
  </si>
  <si>
    <t xml:space="preserve">2026-06-08</t>
  </si>
  <si>
    <t xml:space="preserve">2026-06-09</t>
  </si>
  <si>
    <t xml:space="preserve">2026-06-11</t>
  </si>
  <si>
    <t xml:space="preserve">2026-06-14</t>
  </si>
  <si>
    <t xml:space="preserve">2026-06-16</t>
  </si>
  <si>
    <t xml:space="preserve">2026-06-18</t>
  </si>
  <si>
    <t xml:space="preserve">2026-06-20</t>
  </si>
  <si>
    <t xml:space="preserve">2026-06-22</t>
  </si>
  <si>
    <t xml:space="preserve">2026-06-23</t>
  </si>
  <si>
    <t xml:space="preserve">2026-06-24</t>
  </si>
  <si>
    <t xml:space="preserve">2026-06-27</t>
  </si>
  <si>
    <t xml:space="preserve">2026-06-30</t>
  </si>
  <si>
    <t xml:space="preserve">2026-07-04</t>
  </si>
  <si>
    <t xml:space="preserve">2026-07-05</t>
  </si>
  <si>
    <t xml:space="preserve">2026-07-08</t>
  </si>
  <si>
    <t xml:space="preserve">2026-07-09</t>
  </si>
  <si>
    <t xml:space="preserve">2026-07-11</t>
  </si>
  <si>
    <t xml:space="preserve">2026-07-14</t>
  </si>
  <si>
    <t xml:space="preserve">2026-07-15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</si>
  <si>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</si>
  <si>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</si>
  <si>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</si>
  <si>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</si>
  <si>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</si>
  <si>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</si>
  <si>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</si>
  <si>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</si>
  <si>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</si>
  <si>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</si>
  <si>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</si>
  <si>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</si>
  <si>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</si>
  <si>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Total Expenses</t>
  </si>
  <si>
    <t xml:space="preserve">snapsme — Sample Income Data (for import testing)</t>
  </si>
  <si>
    <t xml:space="preserve">Generated test data. Amounts and sources are fictional. Currency: USD.</t>
  </si>
  <si>
    <t xml:space="preserve">Source</t>
  </si>
  <si>
    <t xml:space="preserve">Consulting session - Workshop</t>
  </si>
  <si>
    <t xml:space="preserve">2026-05-02</t>
  </si>
  <si>
    <t xml:space="preserve">Product sales - Online store</t>
  </si>
  <si>
    <t xml:space="preserve">Client payment - Acme Retail Group</t>
  </si>
  <si>
    <t xml:space="preserve">Product sales - Weekly batch</t>
  </si>
  <si>
    <t xml:space="preserve">Client payment - Bright Path Consulting</t>
  </si>
  <si>
    <t xml:space="preserve">Client payment - Harbor Logistics</t>
  </si>
  <si>
    <t xml:space="preserve">Service fee - Project milestone</t>
  </si>
  <si>
    <t xml:space="preserve">2026-05-31</t>
  </si>
  <si>
    <t xml:space="preserve">2026-06-03</t>
  </si>
  <si>
    <t xml:space="preserve">Service fee - Monthly retainer</t>
  </si>
  <si>
    <t xml:space="preserve">2026-06-19</t>
  </si>
  <si>
    <t xml:space="preserve">2026-06-21</t>
  </si>
  <si>
    <t xml:space="preserve">2026-06-26</t>
  </si>
  <si>
    <t xml:space="preserve">2026-06-28</t>
  </si>
  <si>
    <t xml:space="preserve">2026-06-29</t>
  </si>
  <si>
    <t xml:space="preserve">2026-07-01</t>
  </si>
  <si>
    <t xml:space="preserve">2026-07-02</t>
  </si>
  <si>
    <t xml:space="preserve">2026-07-10</t>
  </si>
  <si>
    <t xml:space="preserve">Total Income</t>
  </si>
  <si>
    <t xml:space="preserve">snapsme — Business Cashflow Summary (test workbook)</t>
  </si>
  <si>
    <t xml:space="preserve">All figures pull live from the Expenses and Income sheets via formula.</t>
  </si>
  <si>
    <t xml:space="preserve">Month</t>
  </si>
  <si>
    <t xml:space="preserve">Net Cashflow</t>
  </si>
  <si>
    <t xml:space="preserve">May 2026</t>
  </si>
  <si>
    <t xml:space="preserve">June 2026</t>
  </si>
  <si>
    <t xml:space="preserve">July 2026</t>
  </si>
  <si>
    <t xml:space="preserve">Total (period)</t>
  </si>
  <si>
    <t xml:space="preserve">Note: This is fictional test data generated for import-testing the CSV/Excel import feature. Not real business figures.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</si>
</sst>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B19"/>
      <name val="Arial"/>
      <family val="0"/>
      <charset val="1"/>
    </font>
    <font>
      <i val="true"/>
      <sz val="10"/>
      <color rgb="FF6B66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C1B19"/>
      <name val="Arial"/>
      <family val="0"/>
      <charset val="1"/>
    </font>
    <font>
      <b val="true"/>
      <sz val="10"/>
      <color rgb="FF1C1B1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1B1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65C"/>
      <rgbColor rgb="FF969696"/>
      <rgbColor rgb="FF003366"/>
      <rgbColor rgb="FF339966"/>
      <rgbColor rgb="FF003300"/>
      <rgbColor rgb="FF1C1B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364.99</v>
      </c>
      <c r="D5" s="4" t="s">
        <v>11</v>
      </c>
      <c r="E5" s="4" t="s">
        <v>12</v>
      </c>
      <c r="F5" s="4" t="s">
        <v>13</v>
      </c>
      <c r="G5" s="4"/>
    </row>
    <row r="6" customFormat="false" ht="15" hidden="false" customHeight="false" outlineLevel="0" collapsed="false">
      <c r="A6" s="4" t="s">
        <v>14</v>
      </c>
      <c r="B6" s="4" t="s">
        <v>15</v>
      </c>
      <c r="C6" s="5" t="n">
        <v>194.81</v>
      </c>
      <c r="D6" s="4" t="s">
        <v>11</v>
      </c>
      <c r="E6" s="4" t="s">
        <v>12</v>
      </c>
      <c r="F6" s="4" t="s">
        <v>16</v>
      </c>
      <c r="G6" s="4"/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160.51</v>
      </c>
      <c r="D7" s="4" t="s">
        <v>11</v>
      </c>
      <c r="E7" s="4" t="s">
        <v>19</v>
      </c>
      <c r="F7" s="4" t="s">
        <v>20</v>
      </c>
      <c r="G7" s="4"/>
    </row>
    <row r="8" customFormat="false" ht="15" hidden="false" customHeight="false" outlineLevel="0" collapsed="false">
      <c r="A8" s="4" t="s">
        <v>21</v>
      </c>
      <c r="B8" s="4" t="s">
        <v>22</v>
      </c>
      <c r="C8" s="5" t="n">
        <v>117.99</v>
      </c>
      <c r="D8" s="4" t="s">
        <v>11</v>
      </c>
      <c r="E8" s="4" t="s">
        <v>23</v>
      </c>
      <c r="F8" s="4" t="s">
        <v>24</v>
      </c>
      <c r="G8" s="4"/>
    </row>
    <row r="9" customFormat="false" ht="15" hidden="false" customHeight="false" outlineLevel="0" collapsed="false">
      <c r="A9" s="4" t="s">
        <v>25</v>
      </c>
      <c r="B9" s="4" t="s">
        <v>26</v>
      </c>
      <c r="C9" s="5" t="n">
        <v>269.61</v>
      </c>
      <c r="D9" s="4" t="s">
        <v>11</v>
      </c>
      <c r="E9" s="4" t="s">
        <v>23</v>
      </c>
      <c r="F9" s="4" t="s">
        <v>27</v>
      </c>
      <c r="G9" s="4"/>
    </row>
    <row r="10" customFormat="false" ht="15" hidden="false" customHeight="false" outlineLevel="0" collapsed="false">
      <c r="A10" s="4" t="s">
        <v>28</v>
      </c>
      <c r="B10" s="4" t="s">
        <v>29</v>
      </c>
      <c r="C10" s="5" t="n">
        <v>108.86</v>
      </c>
      <c r="D10" s="4" t="s">
        <v>11</v>
      </c>
      <c r="E10" s="4" t="s">
        <v>30</v>
      </c>
      <c r="F10" s="4" t="s">
        <v>13</v>
      </c>
      <c r="G10" s="4"/>
    </row>
    <row r="11" customFormat="false" ht="15" hidden="false" customHeight="false" outlineLevel="0" collapsed="false">
      <c r="A11" s="4" t="s">
        <v>31</v>
      </c>
      <c r="B11" s="4" t="s">
        <v>32</v>
      </c>
      <c r="C11" s="5" t="n">
        <v>119.22</v>
      </c>
      <c r="D11" s="4" t="s">
        <v>11</v>
      </c>
      <c r="E11" s="4" t="s">
        <v>33</v>
      </c>
      <c r="F11" s="4" t="s">
        <v>27</v>
      </c>
      <c r="G11" s="4"/>
    </row>
    <row r="12" customFormat="false" ht="15" hidden="false" customHeight="false" outlineLevel="0" collapsed="false">
      <c r="A12" s="4" t="s">
        <v>34</v>
      </c>
      <c r="B12" s="4" t="s">
        <v>10</v>
      </c>
      <c r="C12" s="5" t="n">
        <v>290.06</v>
      </c>
      <c r="D12" s="4" t="s">
        <v>11</v>
      </c>
      <c r="E12" s="4" t="s">
        <v>12</v>
      </c>
      <c r="F12" s="4" t="s">
        <v>24</v>
      </c>
      <c r="G12" s="4"/>
    </row>
    <row r="13" customFormat="false" ht="15" hidden="false" customHeight="false" outlineLevel="0" collapsed="false">
      <c r="A13" s="4" t="s">
        <v>35</v>
      </c>
      <c r="B13" s="4" t="s">
        <v>10</v>
      </c>
      <c r="C13" s="5" t="n">
        <v>346.58</v>
      </c>
      <c r="D13" s="4" t="s">
        <v>11</v>
      </c>
      <c r="E13" s="4" t="s">
        <v>12</v>
      </c>
      <c r="F13" s="4" t="s">
        <v>16</v>
      </c>
      <c r="G13" s="4"/>
    </row>
    <row r="14" customFormat="false" ht="15" hidden="false" customHeight="false" outlineLevel="0" collapsed="false">
      <c r="A14" s="4" t="s">
        <v>36</v>
      </c>
      <c r="B14" s="4" t="s">
        <v>32</v>
      </c>
      <c r="C14" s="5" t="n">
        <v>118.31</v>
      </c>
      <c r="D14" s="4" t="s">
        <v>11</v>
      </c>
      <c r="E14" s="4" t="s">
        <v>33</v>
      </c>
      <c r="F14" s="4" t="s">
        <v>20</v>
      </c>
      <c r="G14" s="4"/>
    </row>
    <row r="15" customFormat="false" ht="15" hidden="false" customHeight="false" outlineLevel="0" collapsed="false">
      <c r="A15" s="4" t="s">
        <v>37</v>
      </c>
      <c r="B15" s="4" t="s">
        <v>26</v>
      </c>
      <c r="C15" s="5" t="n">
        <v>369.06</v>
      </c>
      <c r="D15" s="4" t="s">
        <v>11</v>
      </c>
      <c r="E15" s="4" t="s">
        <v>23</v>
      </c>
      <c r="F15" s="4" t="s">
        <v>16</v>
      </c>
      <c r="G15" s="4"/>
    </row>
    <row r="16" customFormat="false" ht="15" hidden="false" customHeight="false" outlineLevel="0" collapsed="false">
      <c r="A16" s="4" t="s">
        <v>38</v>
      </c>
      <c r="B16" s="4" t="s">
        <v>10</v>
      </c>
      <c r="C16" s="5" t="n">
        <v>278.04</v>
      </c>
      <c r="D16" s="4" t="s">
        <v>11</v>
      </c>
      <c r="E16" s="4" t="s">
        <v>12</v>
      </c>
      <c r="F16" s="4" t="s">
        <v>13</v>
      </c>
      <c r="G16" s="4"/>
    </row>
    <row r="17" customFormat="false" ht="15" hidden="false" customHeight="false" outlineLevel="0" collapsed="false">
      <c r="A17" s="4" t="s">
        <v>39</v>
      </c>
      <c r="B17" s="4" t="s">
        <v>22</v>
      </c>
      <c r="C17" s="5" t="n">
        <v>197.05</v>
      </c>
      <c r="D17" s="4" t="s">
        <v>11</v>
      </c>
      <c r="E17" s="4" t="s">
        <v>23</v>
      </c>
      <c r="F17" s="4" t="s">
        <v>16</v>
      </c>
      <c r="G17" s="4"/>
    </row>
    <row r="18" customFormat="false" ht="15" hidden="false" customHeight="false" outlineLevel="0" collapsed="false">
      <c r="A18" s="4" t="s">
        <v>40</v>
      </c>
      <c r="B18" s="4" t="s">
        <v>18</v>
      </c>
      <c r="C18" s="5" t="n">
        <v>109.61</v>
      </c>
      <c r="D18" s="4" t="s">
        <v>11</v>
      </c>
      <c r="E18" s="4" t="s">
        <v>19</v>
      </c>
      <c r="F18" s="4" t="s">
        <v>27</v>
      </c>
      <c r="G18" s="4"/>
    </row>
    <row r="19" customFormat="false" ht="15" hidden="false" customHeight="false" outlineLevel="0" collapsed="false">
      <c r="A19" s="4" t="s">
        <v>41</v>
      </c>
      <c r="B19" s="4" t="s">
        <v>42</v>
      </c>
      <c r="C19" s="5" t="n">
        <v>116.25</v>
      </c>
      <c r="D19" s="4" t="s">
        <v>11</v>
      </c>
      <c r="E19" s="4" t="s">
        <v>43</v>
      </c>
      <c r="F19" s="4" t="s">
        <v>27</v>
      </c>
      <c r="G19" s="4"/>
    </row>
    <row r="20" customFormat="false" ht="15" hidden="false" customHeight="false" outlineLevel="0" collapsed="false">
      <c r="A20" s="4" t="s">
        <v>44</v>
      </c>
      <c r="B20" s="4" t="s">
        <v>32</v>
      </c>
      <c r="C20" s="5" t="n">
        <v>377.9</v>
      </c>
      <c r="D20" s="4" t="s">
        <v>11</v>
      </c>
      <c r="E20" s="4" t="s">
        <v>33</v>
      </c>
      <c r="F20" s="4" t="s">
        <v>13</v>
      </c>
      <c r="G20" s="4"/>
    </row>
    <row r="21" customFormat="false" ht="15" hidden="false" customHeight="false" outlineLevel="0" collapsed="false">
      <c r="A21" s="4" t="s">
        <v>45</v>
      </c>
      <c r="B21" s="4" t="s">
        <v>46</v>
      </c>
      <c r="C21" s="5" t="n">
        <v>98.36</v>
      </c>
      <c r="D21" s="4" t="s">
        <v>11</v>
      </c>
      <c r="E21" s="4" t="s">
        <v>33</v>
      </c>
      <c r="F21" s="4" t="s">
        <v>20</v>
      </c>
      <c r="G21" s="4"/>
    </row>
    <row r="22" customFormat="false" ht="15" hidden="false" customHeight="false" outlineLevel="0" collapsed="false">
      <c r="A22" s="4" t="s">
        <v>47</v>
      </c>
      <c r="B22" s="4" t="s">
        <v>42</v>
      </c>
      <c r="C22" s="5" t="n">
        <v>211.33</v>
      </c>
      <c r="D22" s="4" t="s">
        <v>11</v>
      </c>
      <c r="E22" s="4" t="s">
        <v>43</v>
      </c>
      <c r="F22" s="4" t="s">
        <v>24</v>
      </c>
      <c r="G22" s="4"/>
    </row>
    <row r="23" customFormat="false" ht="15" hidden="false" customHeight="false" outlineLevel="0" collapsed="false">
      <c r="A23" s="4" t="s">
        <v>48</v>
      </c>
      <c r="B23" s="4" t="s">
        <v>49</v>
      </c>
      <c r="C23" s="5" t="n">
        <v>70.97</v>
      </c>
      <c r="D23" s="4" t="s">
        <v>11</v>
      </c>
      <c r="E23" s="4" t="s">
        <v>19</v>
      </c>
      <c r="F23" s="4" t="s">
        <v>20</v>
      </c>
      <c r="G23" s="4"/>
    </row>
    <row r="24" customFormat="false" ht="15" hidden="false" customHeight="false" outlineLevel="0" collapsed="false">
      <c r="A24" s="4" t="s">
        <v>50</v>
      </c>
      <c r="B24" s="4" t="s">
        <v>51</v>
      </c>
      <c r="C24" s="5" t="n">
        <v>288.36</v>
      </c>
      <c r="D24" s="4" t="s">
        <v>11</v>
      </c>
      <c r="E24" s="4" t="s">
        <v>30</v>
      </c>
      <c r="F24" s="4" t="s">
        <v>27</v>
      </c>
      <c r="G24" s="4"/>
    </row>
    <row r="25" customFormat="false" ht="15" hidden="false" customHeight="false" outlineLevel="0" collapsed="false">
      <c r="A25" s="4" t="s">
        <v>52</v>
      </c>
      <c r="B25" s="4" t="s">
        <v>49</v>
      </c>
      <c r="C25" s="5" t="n">
        <v>166.52</v>
      </c>
      <c r="D25" s="4" t="s">
        <v>11</v>
      </c>
      <c r="E25" s="4" t="s">
        <v>19</v>
      </c>
      <c r="F25" s="4" t="s">
        <v>27</v>
      </c>
      <c r="G25" s="4"/>
    </row>
    <row r="26" customFormat="false" ht="15" hidden="false" customHeight="false" outlineLevel="0" collapsed="false">
      <c r="A26" s="4" t="s">
        <v>53</v>
      </c>
      <c r="B26" s="4" t="s">
        <v>54</v>
      </c>
      <c r="C26" s="5" t="n">
        <v>226</v>
      </c>
      <c r="D26" s="4" t="s">
        <v>11</v>
      </c>
      <c r="E26" s="4" t="s">
        <v>43</v>
      </c>
      <c r="F26" s="4" t="s">
        <v>27</v>
      </c>
      <c r="G26" s="4"/>
    </row>
    <row r="27" customFormat="false" ht="15" hidden="false" customHeight="false" outlineLevel="0" collapsed="false">
      <c r="A27" s="4" t="s">
        <v>55</v>
      </c>
      <c r="B27" s="4" t="s">
        <v>56</v>
      </c>
      <c r="C27" s="5" t="n">
        <v>288.28</v>
      </c>
      <c r="D27" s="4" t="s">
        <v>11</v>
      </c>
      <c r="E27" s="4" t="s">
        <v>19</v>
      </c>
      <c r="F27" s="4" t="s">
        <v>24</v>
      </c>
      <c r="G27" s="4"/>
    </row>
    <row r="28" customFormat="false" ht="15" hidden="false" customHeight="false" outlineLevel="0" collapsed="false">
      <c r="A28" s="4" t="s">
        <v>57</v>
      </c>
      <c r="B28" s="4" t="s">
        <v>22</v>
      </c>
      <c r="C28" s="5" t="n">
        <v>372.53</v>
      </c>
      <c r="D28" s="4" t="s">
        <v>11</v>
      </c>
      <c r="E28" s="4" t="s">
        <v>23</v>
      </c>
      <c r="F28" s="4" t="s">
        <v>16</v>
      </c>
      <c r="G28" s="4"/>
    </row>
    <row r="29" customFormat="false" ht="15" hidden="false" customHeight="false" outlineLevel="0" collapsed="false">
      <c r="A29" s="4" t="s">
        <v>58</v>
      </c>
      <c r="B29" s="4" t="s">
        <v>51</v>
      </c>
      <c r="C29" s="5" t="n">
        <v>272.08</v>
      </c>
      <c r="D29" s="4" t="s">
        <v>11</v>
      </c>
      <c r="E29" s="4" t="s">
        <v>30</v>
      </c>
      <c r="F29" s="4" t="s">
        <v>24</v>
      </c>
      <c r="G29" s="4"/>
    </row>
    <row r="30" customFormat="false" ht="15" hidden="false" customHeight="false" outlineLevel="0" collapsed="false">
      <c r="A30" s="4" t="s">
        <v>59</v>
      </c>
      <c r="B30" s="4" t="s">
        <v>15</v>
      </c>
      <c r="C30" s="5" t="n">
        <v>187.12</v>
      </c>
      <c r="D30" s="4" t="s">
        <v>11</v>
      </c>
      <c r="E30" s="4" t="s">
        <v>12</v>
      </c>
      <c r="F30" s="4" t="s">
        <v>13</v>
      </c>
      <c r="G30" s="4"/>
    </row>
    <row r="31" customFormat="false" ht="15" hidden="false" customHeight="false" outlineLevel="0" collapsed="false">
      <c r="A31" s="4" t="s">
        <v>60</v>
      </c>
      <c r="B31" s="4" t="s">
        <v>56</v>
      </c>
      <c r="C31" s="5" t="n">
        <v>400.97</v>
      </c>
      <c r="D31" s="4" t="s">
        <v>11</v>
      </c>
      <c r="E31" s="4" t="s">
        <v>19</v>
      </c>
      <c r="F31" s="4" t="s">
        <v>16</v>
      </c>
      <c r="G31" s="4"/>
    </row>
    <row r="32" customFormat="false" ht="15" hidden="false" customHeight="false" outlineLevel="0" collapsed="false">
      <c r="A32" s="4" t="s">
        <v>61</v>
      </c>
      <c r="B32" s="4" t="s">
        <v>42</v>
      </c>
      <c r="C32" s="5" t="n">
        <v>321.93</v>
      </c>
      <c r="D32" s="4" t="s">
        <v>11</v>
      </c>
      <c r="E32" s="4" t="s">
        <v>43</v>
      </c>
      <c r="F32" s="4" t="s">
        <v>27</v>
      </c>
      <c r="G32" s="4"/>
    </row>
    <row r="33" customFormat="false" ht="15" hidden="false" customHeight="false" outlineLevel="0" collapsed="false">
      <c r="A33" s="4" t="s">
        <v>62</v>
      </c>
      <c r="B33" s="4" t="s">
        <v>49</v>
      </c>
      <c r="C33" s="5" t="n">
        <v>366.65</v>
      </c>
      <c r="D33" s="4" t="s">
        <v>11</v>
      </c>
      <c r="E33" s="4" t="s">
        <v>19</v>
      </c>
      <c r="F33" s="4" t="s">
        <v>16</v>
      </c>
      <c r="G33" s="4"/>
    </row>
    <row r="34" customFormat="false" ht="15" hidden="false" customHeight="false" outlineLevel="0" collapsed="false">
      <c r="A34" s="4" t="s">
        <v>63</v>
      </c>
      <c r="B34" s="4" t="s">
        <v>22</v>
      </c>
      <c r="C34" s="5" t="n">
        <v>217.16</v>
      </c>
      <c r="D34" s="4" t="s">
        <v>11</v>
      </c>
      <c r="E34" s="4" t="s">
        <v>23</v>
      </c>
      <c r="F34" s="4" t="s">
        <v>20</v>
      </c>
      <c r="G34" s="4"/>
    </row>
    <row r="35" customFormat="false" ht="15" hidden="false" customHeight="false" outlineLevel="0" collapsed="false">
      <c r="A35" s="4" t="s">
        <v>64</v>
      </c>
      <c r="B35" s="4" t="s">
        <v>18</v>
      </c>
      <c r="C35" s="5" t="n">
        <v>162.05</v>
      </c>
      <c r="D35" s="4" t="s">
        <v>11</v>
      </c>
      <c r="E35" s="4" t="s">
        <v>19</v>
      </c>
      <c r="F35" s="4" t="s">
        <v>20</v>
      </c>
      <c r="G35" s="4"/>
    </row>
    <row r="36" customFormat="false" ht="15" hidden="false" customHeight="false" outlineLevel="0" collapsed="false">
      <c r="A36" s="4" t="s">
        <v>65</v>
      </c>
      <c r="B36" s="4" t="s">
        <v>42</v>
      </c>
      <c r="C36" s="5" t="n">
        <v>400.84</v>
      </c>
      <c r="D36" s="4" t="s">
        <v>11</v>
      </c>
      <c r="E36" s="4" t="s">
        <v>43</v>
      </c>
      <c r="F36" s="4" t="s">
        <v>27</v>
      </c>
      <c r="G36" s="4"/>
    </row>
    <row r="37" customFormat="false" ht="15" hidden="false" customHeight="false" outlineLevel="0" collapsed="false">
      <c r="A37" s="4" t="s">
        <v>66</v>
      </c>
      <c r="B37" s="4" t="s">
        <v>56</v>
      </c>
      <c r="C37" s="5" t="n">
        <v>254.77</v>
      </c>
      <c r="D37" s="4" t="s">
        <v>11</v>
      </c>
      <c r="E37" s="4" t="s">
        <v>19</v>
      </c>
      <c r="F37" s="4" t="s">
        <v>13</v>
      </c>
      <c r="G37" s="4"/>
    </row>
    <row r="38" customFormat="false" ht="15" hidden="false" customHeight="false" outlineLevel="0" collapsed="false">
      <c r="A38" s="4" t="s">
        <v>67</v>
      </c>
      <c r="B38" s="4" t="s">
        <v>56</v>
      </c>
      <c r="C38" s="5" t="n">
        <v>54.09</v>
      </c>
      <c r="D38" s="4" t="s">
        <v>11</v>
      </c>
      <c r="E38" s="4" t="s">
        <v>19</v>
      </c>
      <c r="F38" s="4" t="s">
        <v>16</v>
      </c>
      <c r="G38" s="4"/>
    </row>
    <row r="39" customFormat="false" ht="15" hidden="false" customHeight="false" outlineLevel="0" collapsed="false">
      <c r="A39" s="4" t="s">
        <v>68</v>
      </c>
      <c r="B39" s="4" t="s">
        <v>51</v>
      </c>
      <c r="C39" s="5" t="n">
        <v>134.7</v>
      </c>
      <c r="D39" s="4" t="s">
        <v>11</v>
      </c>
      <c r="E39" s="4" t="s">
        <v>30</v>
      </c>
      <c r="F39" s="4" t="s">
        <v>24</v>
      </c>
      <c r="G39" s="4"/>
    </row>
    <row r="40" customFormat="false" ht="15" hidden="false" customHeight="false" outlineLevel="0" collapsed="false">
      <c r="A40" s="4" t="s">
        <v>69</v>
      </c>
      <c r="B40" s="4" t="s">
        <v>10</v>
      </c>
      <c r="C40" s="5" t="n">
        <v>369.74</v>
      </c>
      <c r="D40" s="4" t="s">
        <v>11</v>
      </c>
      <c r="E40" s="4" t="s">
        <v>12</v>
      </c>
      <c r="F40" s="4" t="s">
        <v>24</v>
      </c>
      <c r="G40" s="4"/>
    </row>
    <row r="41" customFormat="false" ht="15" hidden="false" customHeight="false" outlineLevel="0" collapsed="false">
      <c r="A41" s="4" t="s">
        <v>70</v>
      </c>
      <c r="B41" s="4" t="s">
        <v>49</v>
      </c>
      <c r="C41" s="5" t="n">
        <v>309.55</v>
      </c>
      <c r="D41" s="4" t="s">
        <v>11</v>
      </c>
      <c r="E41" s="4" t="s">
        <v>19</v>
      </c>
      <c r="F41" s="4" t="s">
        <v>24</v>
      </c>
      <c r="G41" s="4"/>
    </row>
    <row r="42" customFormat="false" ht="15" hidden="false" customHeight="false" outlineLevel="0" collapsed="false">
      <c r="A42" s="4" t="s">
        <v>71</v>
      </c>
      <c r="B42" s="4" t="s">
        <v>51</v>
      </c>
      <c r="C42" s="5" t="n">
        <v>227.47</v>
      </c>
      <c r="D42" s="4" t="s">
        <v>11</v>
      </c>
      <c r="E42" s="4" t="s">
        <v>30</v>
      </c>
      <c r="F42" s="4" t="s">
        <v>20</v>
      </c>
      <c r="G42" s="4"/>
    </row>
    <row r="43" customFormat="false" ht="15" hidden="false" customHeight="false" outlineLevel="0" collapsed="false">
      <c r="A43" s="4" t="s">
        <v>72</v>
      </c>
      <c r="B43" s="4" t="s">
        <v>18</v>
      </c>
      <c r="C43" s="5" t="n">
        <v>279.82</v>
      </c>
      <c r="D43" s="4" t="s">
        <v>11</v>
      </c>
      <c r="E43" s="4" t="s">
        <v>19</v>
      </c>
      <c r="F43" s="4" t="s">
        <v>27</v>
      </c>
      <c r="G43" s="4"/>
    </row>
    <row r="44" customFormat="false" ht="15" hidden="false" customHeight="false" outlineLevel="0" collapsed="false">
      <c r="A44" s="4" t="s">
        <v>73</v>
      </c>
      <c r="B44" s="4" t="s">
        <v>18</v>
      </c>
      <c r="C44" s="5" t="n">
        <v>117.2</v>
      </c>
      <c r="D44" s="4" t="s">
        <v>11</v>
      </c>
      <c r="E44" s="4" t="s">
        <v>19</v>
      </c>
      <c r="F44" s="4" t="s">
        <v>27</v>
      </c>
      <c r="G44" s="4"/>
    </row>
    <row r="45" customFormat="false" ht="15" hidden="false" customHeight="false" outlineLevel="0" collapsed="false">
      <c r="A45" s="4" t="s">
        <v>74</v>
      </c>
      <c r="B45" s="4" t="s">
        <v>32</v>
      </c>
      <c r="C45" s="5" t="n">
        <v>405.32</v>
      </c>
      <c r="D45" s="4" t="s">
        <v>11</v>
      </c>
      <c r="E45" s="4" t="s">
        <v>33</v>
      </c>
      <c r="F45" s="4" t="s">
        <v>27</v>
      </c>
      <c r="G45" s="4"/>
    </row>
    <row r="46" customFormat="false" ht="15" hidden="false" customHeight="false" outlineLevel="0" collapsed="false">
      <c r="A46" s="4" t="s">
        <v>75</v>
      </c>
      <c r="B46" s="4" t="s">
        <v>51</v>
      </c>
      <c r="C46" s="5" t="n">
        <v>308.73</v>
      </c>
      <c r="D46" s="4" t="s">
        <v>11</v>
      </c>
      <c r="E46" s="4" t="s">
        <v>30</v>
      </c>
      <c r="F46" s="4" t="s">
        <v>20</v>
      </c>
      <c r="G46" s="4"/>
    </row>
    <row r="47" customFormat="false" ht="15" hidden="false" customHeight="false" outlineLevel="0" collapsed="false">
      <c r="A47" s="4" t="s">
        <v>76</v>
      </c>
      <c r="B47" s="4" t="s">
        <v>29</v>
      </c>
      <c r="C47" s="5" t="n">
        <v>136.43</v>
      </c>
      <c r="D47" s="4" t="s">
        <v>11</v>
      </c>
      <c r="E47" s="4" t="s">
        <v>30</v>
      </c>
      <c r="F47" s="4" t="s">
        <v>16</v>
      </c>
      <c r="G47" s="4"/>
    </row>
    <row r="48" customFormat="false" ht="15" hidden="false" customHeight="false" outlineLevel="0" collapsed="false">
      <c r="A48" s="4" t="s">
        <v>77</v>
      </c>
      <c r="B48" s="4" t="s">
        <v>54</v>
      </c>
      <c r="C48" s="5" t="n">
        <v>378.64</v>
      </c>
      <c r="D48" s="4" t="s">
        <v>11</v>
      </c>
      <c r="E48" s="4" t="s">
        <v>43</v>
      </c>
      <c r="F48" s="4" t="s">
        <v>13</v>
      </c>
      <c r="G48" s="4"/>
    </row>
    <row r="49" customFormat="false" ht="15" hidden="false" customHeight="false" outlineLevel="0" collapsed="false">
      <c r="A49" s="4" t="s">
        <v>78</v>
      </c>
      <c r="B49" s="4" t="s">
        <v>49</v>
      </c>
      <c r="C49" s="5" t="n">
        <v>110.14</v>
      </c>
      <c r="D49" s="4" t="s">
        <v>11</v>
      </c>
      <c r="E49" s="4" t="s">
        <v>19</v>
      </c>
      <c r="F49" s="4" t="s">
        <v>24</v>
      </c>
      <c r="G49" s="4"/>
    </row>
    <row r="50" customFormat="false" ht="15" hidden="false" customHeight="false" outlineLevel="0" collapsed="false">
      <c r="A50" s="4" t="s">
        <v>79</v>
      </c>
      <c r="B50" s="4" t="s">
        <v>46</v>
      </c>
      <c r="C50" s="5" t="n">
        <v>16.67</v>
      </c>
      <c r="D50" s="4" t="s">
        <v>11</v>
      </c>
      <c r="E50" s="4" t="s">
        <v>33</v>
      </c>
      <c r="F50" s="4" t="s">
        <v>27</v>
      </c>
      <c r="G50" s="4"/>
    </row>
    <row r="51" customFormat="false" ht="15" hidden="false" customHeight="false" outlineLevel="0" collapsed="false">
      <c r="A51" s="4" t="s">
        <v>80</v>
      </c>
      <c r="B51" s="4" t="s">
        <v>10</v>
      </c>
      <c r="C51" s="5" t="n">
        <v>250.44</v>
      </c>
      <c r="D51" s="4" t="s">
        <v>11</v>
      </c>
      <c r="E51" s="4" t="s">
        <v>12</v>
      </c>
      <c r="F51" s="4" t="s">
        <v>24</v>
      </c>
      <c r="G51" s="4"/>
    </row>
    <row r="52" customFormat="false" ht="15" hidden="false" customHeight="false" outlineLevel="0" collapsed="false">
      <c r="A52" s="4" t="s">
        <v>81</v>
      </c>
      <c r="B52" s="4" t="s">
        <v>49</v>
      </c>
      <c r="C52" s="5" t="n">
        <v>299.63</v>
      </c>
      <c r="D52" s="4" t="s">
        <v>11</v>
      </c>
      <c r="E52" s="4" t="s">
        <v>19</v>
      </c>
      <c r="F52" s="4" t="s">
        <v>24</v>
      </c>
      <c r="G52" s="4"/>
    </row>
    <row r="53" customFormat="false" ht="15" hidden="false" customHeight="false" outlineLevel="0" collapsed="false">
      <c r="A53" s="4" t="s">
        <v>82</v>
      </c>
      <c r="B53" s="4" t="s">
        <v>10</v>
      </c>
      <c r="C53" s="5" t="n">
        <v>35.77</v>
      </c>
      <c r="D53" s="4" t="s">
        <v>11</v>
      </c>
      <c r="E53" s="4" t="s">
        <v>12</v>
      </c>
      <c r="F53" s="4" t="s">
        <v>24</v>
      </c>
      <c r="G53" s="4"/>
    </row>
    <row r="54" customFormat="false" ht="15" hidden="false" customHeight="false" outlineLevel="0" collapsed="false">
      <c r="A54" s="4" t="s">
        <v>83</v>
      </c>
      <c r="B54" s="4" t="s">
        <v>46</v>
      </c>
      <c r="C54" s="5" t="n">
        <v>37.19</v>
      </c>
      <c r="D54" s="4" t="s">
        <v>11</v>
      </c>
      <c r="E54" s="4" t="s">
        <v>33</v>
      </c>
      <c r="F54" s="4" t="s">
        <v>20</v>
      </c>
      <c r="G54" s="4"/>
    </row>
    <row r="55" customFormat="false" ht="15" hidden="false" customHeight="false" outlineLevel="0" collapsed="false">
      <c r="A55" s="4" t="s">
        <v>84</v>
      </c>
      <c r="B55" s="4" t="s">
        <v>15</v>
      </c>
      <c r="C55" s="5" t="n">
        <v>283.62</v>
      </c>
      <c r="D55" s="4" t="s">
        <v>11</v>
      </c>
      <c r="E55" s="4" t="s">
        <v>12</v>
      </c>
      <c r="F55" s="4" t="s">
        <v>20</v>
      </c>
      <c r="G55" s="4"/>
    </row>
    <row r="56" customFormat="false" ht="15" hidden="false" customHeight="false" outlineLevel="0" collapsed="false">
      <c r="A56" s="4" t="s">
        <v>85</v>
      </c>
      <c r="B56" s="4" t="s">
        <v>42</v>
      </c>
      <c r="C56" s="5" t="n">
        <v>62.51</v>
      </c>
      <c r="D56" s="4" t="s">
        <v>11</v>
      </c>
      <c r="E56" s="4" t="s">
        <v>43</v>
      </c>
      <c r="F56" s="4" t="s">
        <v>27</v>
      </c>
      <c r="G56" s="4"/>
    </row>
    <row r="57" customFormat="false" ht="15" hidden="false" customHeight="false" outlineLevel="0" collapsed="false">
      <c r="A57" s="4" t="s">
        <v>86</v>
      </c>
      <c r="B57" s="4" t="s">
        <v>26</v>
      </c>
      <c r="C57" s="5" t="n">
        <v>202.74</v>
      </c>
      <c r="D57" s="4" t="s">
        <v>11</v>
      </c>
      <c r="E57" s="4" t="s">
        <v>23</v>
      </c>
      <c r="F57" s="4" t="s">
        <v>13</v>
      </c>
      <c r="G57" s="4"/>
    </row>
    <row r="58" customFormat="false" ht="15" hidden="false" customHeight="false" outlineLevel="0" collapsed="false">
      <c r="A58" s="4" t="s">
        <v>87</v>
      </c>
      <c r="B58" s="4" t="s">
        <v>51</v>
      </c>
      <c r="C58" s="5" t="n">
        <v>175.71</v>
      </c>
      <c r="D58" s="4" t="s">
        <v>11</v>
      </c>
      <c r="E58" s="4" t="s">
        <v>30</v>
      </c>
      <c r="F58" s="4" t="s">
        <v>24</v>
      </c>
      <c r="G58" s="4"/>
    </row>
    <row r="59" customFormat="false" ht="15" hidden="false" customHeight="false" outlineLevel="0" collapsed="false">
      <c r="A59" s="4" t="s">
        <v>88</v>
      </c>
      <c r="B59" s="4" t="s">
        <v>49</v>
      </c>
      <c r="C59" s="5" t="n">
        <v>279.5</v>
      </c>
      <c r="D59" s="4" t="s">
        <v>11</v>
      </c>
      <c r="E59" s="4" t="s">
        <v>19</v>
      </c>
      <c r="F59" s="4" t="s">
        <v>16</v>
      </c>
      <c r="G59" s="4"/>
    </row>
    <row r="60" customFormat="false" ht="15" hidden="false" customHeight="false" outlineLevel="0" collapsed="false">
      <c r="A60" s="4" t="s">
        <v>89</v>
      </c>
      <c r="B60" s="4" t="s">
        <v>32</v>
      </c>
      <c r="C60" s="5" t="n">
        <v>177.37</v>
      </c>
      <c r="D60" s="4" t="s">
        <v>11</v>
      </c>
      <c r="E60" s="4" t="s">
        <v>33</v>
      </c>
      <c r="F60" s="4" t="s">
        <v>24</v>
      </c>
      <c r="G60" s="4"/>
    </row>
    <row r="61" customFormat="false" ht="15" hidden="false" customHeight="false" outlineLevel="0" collapsed="false">
      <c r="A61" s="4" t="s">
        <v>90</v>
      </c>
      <c r="B61" s="4" t="s">
        <v>22</v>
      </c>
      <c r="C61" s="5" t="n">
        <v>277.22</v>
      </c>
      <c r="D61" s="4" t="s">
        <v>11</v>
      </c>
      <c r="E61" s="4" t="s">
        <v>23</v>
      </c>
      <c r="F61" s="4" t="s">
        <v>24</v>
      </c>
      <c r="G61" s="4"/>
    </row>
    <row r="62" customFormat="false" ht="15" hidden="false" customHeight="false" outlineLevel="0" collapsed="false">
      <c r="A62" s="4" t="s">
        <v>91</v>
      </c>
      <c r="B62" s="4" t="s">
        <v>56</v>
      </c>
      <c r="C62" s="5" t="n">
        <v>173.88</v>
      </c>
      <c r="D62" s="4" t="s">
        <v>11</v>
      </c>
      <c r="E62" s="4" t="s">
        <v>19</v>
      </c>
      <c r="F62" s="4" t="s">
        <v>16</v>
      </c>
      <c r="G62" s="4"/>
    </row>
    <row r="63" customFormat="false" ht="15" hidden="false" customHeight="false" outlineLevel="0" collapsed="false">
      <c r="A63" s="4" t="s">
        <v>92</v>
      </c>
      <c r="B63" s="4" t="s">
        <v>51</v>
      </c>
      <c r="C63" s="5" t="n">
        <v>363.01</v>
      </c>
      <c r="D63" s="4" t="s">
        <v>11</v>
      </c>
      <c r="E63" s="4" t="s">
        <v>30</v>
      </c>
      <c r="F63" s="4" t="s">
        <v>20</v>
      </c>
      <c r="G63" s="4"/>
    </row>
    <row r="64" customFormat="false" ht="15" hidden="false" customHeight="false" outlineLevel="0" collapsed="false">
      <c r="A64" s="4" t="s">
        <v>93</v>
      </c>
      <c r="B64" s="4" t="s">
        <v>10</v>
      </c>
      <c r="C64" s="5" t="n">
        <v>86.37</v>
      </c>
      <c r="D64" s="4" t="s">
        <v>11</v>
      </c>
      <c r="E64" s="4" t="s">
        <v>12</v>
      </c>
      <c r="F64" s="4" t="s">
        <v>13</v>
      </c>
      <c r="G64" s="4"/>
    </row>
    <row r="66" customFormat="false" ht="15" hidden="false" customHeight="false" outlineLevel="0" collapsed="false">
      <c r="B66" s="6" t="s">
        <v>94</v>
      </c>
      <c r="C66" s="7" t="n">
        <f aca="false">SUM(C5:C64)</f>
        <v>13398.23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95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97</v>
      </c>
      <c r="C4" s="3" t="s">
        <v>4</v>
      </c>
      <c r="D4" s="3" t="s">
        <v>5</v>
      </c>
      <c r="E4" s="3" t="s">
        <v>7</v>
      </c>
      <c r="F4" s="3" t="s">
        <v>8</v>
      </c>
    </row>
    <row r="5" customFormat="false" ht="15" hidden="false" customHeight="false" outlineLevel="0" collapsed="false">
      <c r="A5" s="4" t="s">
        <v>9</v>
      </c>
      <c r="B5" s="4" t="s">
        <v>98</v>
      </c>
      <c r="C5" s="5" t="n">
        <v>622.13</v>
      </c>
      <c r="D5" s="4" t="s">
        <v>11</v>
      </c>
      <c r="E5" s="4" t="s">
        <v>16</v>
      </c>
      <c r="F5" s="4"/>
    </row>
    <row r="6" customFormat="false" ht="15" hidden="false" customHeight="false" outlineLevel="0" collapsed="false">
      <c r="A6" s="4" t="s">
        <v>99</v>
      </c>
      <c r="B6" s="4" t="s">
        <v>100</v>
      </c>
      <c r="C6" s="5" t="n">
        <v>3104.56</v>
      </c>
      <c r="D6" s="4" t="s">
        <v>11</v>
      </c>
      <c r="E6" s="4" t="s">
        <v>27</v>
      </c>
      <c r="F6" s="4"/>
    </row>
    <row r="7" customFormat="false" ht="15" hidden="false" customHeight="false" outlineLevel="0" collapsed="false">
      <c r="A7" s="4" t="s">
        <v>28</v>
      </c>
      <c r="B7" s="4" t="s">
        <v>101</v>
      </c>
      <c r="C7" s="5" t="n">
        <v>2431.33</v>
      </c>
      <c r="D7" s="4" t="s">
        <v>11</v>
      </c>
      <c r="E7" s="4" t="s">
        <v>24</v>
      </c>
      <c r="F7" s="4"/>
    </row>
    <row r="8" customFormat="false" ht="15" hidden="false" customHeight="false" outlineLevel="0" collapsed="false">
      <c r="A8" s="4" t="s">
        <v>31</v>
      </c>
      <c r="B8" s="4" t="s">
        <v>101</v>
      </c>
      <c r="C8" s="5" t="n">
        <v>1931.74</v>
      </c>
      <c r="D8" s="4" t="s">
        <v>11</v>
      </c>
      <c r="E8" s="4" t="s">
        <v>27</v>
      </c>
      <c r="F8" s="4"/>
    </row>
    <row r="9" customFormat="false" ht="15" hidden="false" customHeight="false" outlineLevel="0" collapsed="false">
      <c r="A9" s="4" t="s">
        <v>34</v>
      </c>
      <c r="B9" s="4" t="s">
        <v>102</v>
      </c>
      <c r="C9" s="5" t="n">
        <v>323.48</v>
      </c>
      <c r="D9" s="4" t="s">
        <v>11</v>
      </c>
      <c r="E9" s="4" t="s">
        <v>27</v>
      </c>
      <c r="F9" s="4"/>
    </row>
    <row r="10" customFormat="false" ht="15" hidden="false" customHeight="false" outlineLevel="0" collapsed="false">
      <c r="A10" s="4" t="s">
        <v>35</v>
      </c>
      <c r="B10" s="4" t="s">
        <v>103</v>
      </c>
      <c r="C10" s="5" t="n">
        <v>2746.59</v>
      </c>
      <c r="D10" s="4" t="s">
        <v>11</v>
      </c>
      <c r="E10" s="4" t="s">
        <v>24</v>
      </c>
      <c r="F10" s="4"/>
    </row>
    <row r="11" customFormat="false" ht="15" hidden="false" customHeight="false" outlineLevel="0" collapsed="false">
      <c r="A11" s="4" t="s">
        <v>36</v>
      </c>
      <c r="B11" s="4" t="s">
        <v>103</v>
      </c>
      <c r="C11" s="5" t="n">
        <v>2209.4</v>
      </c>
      <c r="D11" s="4" t="s">
        <v>11</v>
      </c>
      <c r="E11" s="4" t="s">
        <v>20</v>
      </c>
      <c r="F11" s="4"/>
    </row>
    <row r="12" customFormat="false" ht="15" hidden="false" customHeight="false" outlineLevel="0" collapsed="false">
      <c r="A12" s="4" t="s">
        <v>40</v>
      </c>
      <c r="B12" s="4" t="s">
        <v>104</v>
      </c>
      <c r="C12" s="5" t="n">
        <v>515.65</v>
      </c>
      <c r="D12" s="4" t="s">
        <v>11</v>
      </c>
      <c r="E12" s="4" t="s">
        <v>27</v>
      </c>
      <c r="F12" s="4"/>
    </row>
    <row r="13" customFormat="false" ht="15" hidden="false" customHeight="false" outlineLevel="0" collapsed="false">
      <c r="A13" s="4" t="s">
        <v>41</v>
      </c>
      <c r="B13" s="4" t="s">
        <v>100</v>
      </c>
      <c r="C13" s="5" t="n">
        <v>1915.7</v>
      </c>
      <c r="D13" s="4" t="s">
        <v>11</v>
      </c>
      <c r="E13" s="4" t="s">
        <v>24</v>
      </c>
      <c r="F13" s="4"/>
    </row>
    <row r="14" customFormat="false" ht="15" hidden="false" customHeight="false" outlineLevel="0" collapsed="false">
      <c r="A14" s="4" t="s">
        <v>45</v>
      </c>
      <c r="B14" s="4" t="s">
        <v>103</v>
      </c>
      <c r="C14" s="5" t="n">
        <v>1428.64</v>
      </c>
      <c r="D14" s="4" t="s">
        <v>11</v>
      </c>
      <c r="E14" s="4" t="s">
        <v>27</v>
      </c>
      <c r="F14" s="4"/>
    </row>
    <row r="15" customFormat="false" ht="15" hidden="false" customHeight="false" outlineLevel="0" collapsed="false">
      <c r="A15" s="4" t="s">
        <v>48</v>
      </c>
      <c r="B15" s="4" t="s">
        <v>105</v>
      </c>
      <c r="C15" s="5" t="n">
        <v>3000.85</v>
      </c>
      <c r="D15" s="4" t="s">
        <v>11</v>
      </c>
      <c r="E15" s="4" t="s">
        <v>20</v>
      </c>
      <c r="F15" s="4"/>
    </row>
    <row r="16" customFormat="false" ht="15" hidden="false" customHeight="false" outlineLevel="0" collapsed="false">
      <c r="A16" s="4" t="s">
        <v>53</v>
      </c>
      <c r="B16" s="4" t="s">
        <v>105</v>
      </c>
      <c r="C16" s="5" t="n">
        <v>877.99</v>
      </c>
      <c r="D16" s="4" t="s">
        <v>11</v>
      </c>
      <c r="E16" s="4" t="s">
        <v>13</v>
      </c>
      <c r="F16" s="4"/>
    </row>
    <row r="17" customFormat="false" ht="15" hidden="false" customHeight="false" outlineLevel="0" collapsed="false">
      <c r="A17" s="4" t="s">
        <v>106</v>
      </c>
      <c r="B17" s="4" t="s">
        <v>102</v>
      </c>
      <c r="C17" s="5" t="n">
        <v>2198.66</v>
      </c>
      <c r="D17" s="4" t="s">
        <v>11</v>
      </c>
      <c r="E17" s="4" t="s">
        <v>16</v>
      </c>
      <c r="F17" s="4"/>
    </row>
    <row r="18" customFormat="false" ht="15" hidden="false" customHeight="false" outlineLevel="0" collapsed="false">
      <c r="A18" s="4" t="s">
        <v>58</v>
      </c>
      <c r="B18" s="4" t="s">
        <v>98</v>
      </c>
      <c r="C18" s="5" t="n">
        <v>1114.34</v>
      </c>
      <c r="D18" s="4" t="s">
        <v>11</v>
      </c>
      <c r="E18" s="4" t="s">
        <v>24</v>
      </c>
      <c r="F18" s="4"/>
    </row>
    <row r="19" customFormat="false" ht="15" hidden="false" customHeight="false" outlineLevel="0" collapsed="false">
      <c r="A19" s="4" t="s">
        <v>107</v>
      </c>
      <c r="B19" s="4" t="s">
        <v>101</v>
      </c>
      <c r="C19" s="5" t="n">
        <v>1547.77</v>
      </c>
      <c r="D19" s="4" t="s">
        <v>11</v>
      </c>
      <c r="E19" s="4" t="s">
        <v>27</v>
      </c>
      <c r="F19" s="4"/>
    </row>
    <row r="20" customFormat="false" ht="15" hidden="false" customHeight="false" outlineLevel="0" collapsed="false">
      <c r="A20" s="4" t="s">
        <v>60</v>
      </c>
      <c r="B20" s="4" t="s">
        <v>103</v>
      </c>
      <c r="C20" s="5" t="n">
        <v>373.45</v>
      </c>
      <c r="D20" s="4" t="s">
        <v>11</v>
      </c>
      <c r="E20" s="4" t="s">
        <v>20</v>
      </c>
      <c r="F20" s="4"/>
    </row>
    <row r="21" customFormat="false" ht="15" hidden="false" customHeight="false" outlineLevel="0" collapsed="false">
      <c r="A21" s="4" t="s">
        <v>67</v>
      </c>
      <c r="B21" s="4" t="s">
        <v>108</v>
      </c>
      <c r="C21" s="5" t="n">
        <v>553.99</v>
      </c>
      <c r="D21" s="4" t="s">
        <v>11</v>
      </c>
      <c r="E21" s="4" t="s">
        <v>16</v>
      </c>
      <c r="F21" s="4"/>
    </row>
    <row r="22" customFormat="false" ht="15" hidden="false" customHeight="false" outlineLevel="0" collapsed="false">
      <c r="A22" s="4" t="s">
        <v>109</v>
      </c>
      <c r="B22" s="4" t="s">
        <v>103</v>
      </c>
      <c r="C22" s="5" t="n">
        <v>2831.77</v>
      </c>
      <c r="D22" s="4" t="s">
        <v>11</v>
      </c>
      <c r="E22" s="4" t="s">
        <v>16</v>
      </c>
      <c r="F22" s="4"/>
    </row>
    <row r="23" customFormat="false" ht="15" hidden="false" customHeight="false" outlineLevel="0" collapsed="false">
      <c r="A23" s="4" t="s">
        <v>110</v>
      </c>
      <c r="B23" s="4" t="s">
        <v>108</v>
      </c>
      <c r="C23" s="5" t="n">
        <v>631.13</v>
      </c>
      <c r="D23" s="4" t="s">
        <v>11</v>
      </c>
      <c r="E23" s="4" t="s">
        <v>27</v>
      </c>
      <c r="F23" s="4"/>
    </row>
    <row r="24" customFormat="false" ht="15" hidden="false" customHeight="false" outlineLevel="0" collapsed="false">
      <c r="A24" s="4" t="s">
        <v>69</v>
      </c>
      <c r="B24" s="4" t="s">
        <v>108</v>
      </c>
      <c r="C24" s="5" t="n">
        <v>2015.62</v>
      </c>
      <c r="D24" s="4" t="s">
        <v>11</v>
      </c>
      <c r="E24" s="4" t="s">
        <v>27</v>
      </c>
      <c r="F24" s="4"/>
    </row>
    <row r="25" customFormat="false" ht="15" hidden="false" customHeight="false" outlineLevel="0" collapsed="false">
      <c r="A25" s="4" t="s">
        <v>71</v>
      </c>
      <c r="B25" s="4" t="s">
        <v>101</v>
      </c>
      <c r="C25" s="5" t="n">
        <v>2186.98</v>
      </c>
      <c r="D25" s="4" t="s">
        <v>11</v>
      </c>
      <c r="E25" s="4" t="s">
        <v>27</v>
      </c>
      <c r="F25" s="4"/>
    </row>
    <row r="26" customFormat="false" ht="15" hidden="false" customHeight="false" outlineLevel="0" collapsed="false">
      <c r="A26" s="4" t="s">
        <v>111</v>
      </c>
      <c r="B26" s="4" t="s">
        <v>108</v>
      </c>
      <c r="C26" s="5" t="n">
        <v>2991.86</v>
      </c>
      <c r="D26" s="4" t="s">
        <v>11</v>
      </c>
      <c r="E26" s="4" t="s">
        <v>24</v>
      </c>
      <c r="F26" s="4"/>
    </row>
    <row r="27" customFormat="false" ht="15" hidden="false" customHeight="false" outlineLevel="0" collapsed="false">
      <c r="A27" s="4" t="s">
        <v>112</v>
      </c>
      <c r="B27" s="4" t="s">
        <v>102</v>
      </c>
      <c r="C27" s="5" t="n">
        <v>956.62</v>
      </c>
      <c r="D27" s="4" t="s">
        <v>11</v>
      </c>
      <c r="E27" s="4" t="s">
        <v>24</v>
      </c>
      <c r="F27" s="4"/>
    </row>
    <row r="28" customFormat="false" ht="15" hidden="false" customHeight="false" outlineLevel="0" collapsed="false">
      <c r="A28" s="4" t="s">
        <v>113</v>
      </c>
      <c r="B28" s="4" t="s">
        <v>102</v>
      </c>
      <c r="C28" s="5" t="n">
        <v>980.66</v>
      </c>
      <c r="D28" s="4" t="s">
        <v>11</v>
      </c>
      <c r="E28" s="4" t="s">
        <v>27</v>
      </c>
      <c r="F28" s="4"/>
    </row>
    <row r="29" customFormat="false" ht="15" hidden="false" customHeight="false" outlineLevel="0" collapsed="false">
      <c r="A29" s="4" t="s">
        <v>114</v>
      </c>
      <c r="B29" s="4" t="s">
        <v>100</v>
      </c>
      <c r="C29" s="5" t="n">
        <v>2338.72</v>
      </c>
      <c r="D29" s="4" t="s">
        <v>11</v>
      </c>
      <c r="E29" s="4" t="s">
        <v>20</v>
      </c>
      <c r="F29" s="4"/>
    </row>
    <row r="30" customFormat="false" ht="15" hidden="false" customHeight="false" outlineLevel="0" collapsed="false">
      <c r="A30" s="4" t="s">
        <v>115</v>
      </c>
      <c r="B30" s="4" t="s">
        <v>108</v>
      </c>
      <c r="C30" s="5" t="n">
        <v>1691.5</v>
      </c>
      <c r="D30" s="4" t="s">
        <v>11</v>
      </c>
      <c r="E30" s="4" t="s">
        <v>16</v>
      </c>
      <c r="F30" s="4"/>
    </row>
    <row r="31" customFormat="false" ht="15" hidden="false" customHeight="false" outlineLevel="0" collapsed="false">
      <c r="A31" s="4" t="s">
        <v>77</v>
      </c>
      <c r="B31" s="4" t="s">
        <v>101</v>
      </c>
      <c r="C31" s="5" t="n">
        <v>431.51</v>
      </c>
      <c r="D31" s="4" t="s">
        <v>11</v>
      </c>
      <c r="E31" s="4" t="s">
        <v>13</v>
      </c>
      <c r="F31" s="4"/>
    </row>
    <row r="32" customFormat="false" ht="15" hidden="false" customHeight="false" outlineLevel="0" collapsed="false">
      <c r="A32" s="4" t="s">
        <v>116</v>
      </c>
      <c r="B32" s="4" t="s">
        <v>108</v>
      </c>
      <c r="C32" s="5" t="n">
        <v>284.46</v>
      </c>
      <c r="D32" s="4" t="s">
        <v>11</v>
      </c>
      <c r="E32" s="4" t="s">
        <v>16</v>
      </c>
      <c r="F32" s="4"/>
    </row>
    <row r="33" customFormat="false" ht="15" hidden="false" customHeight="false" outlineLevel="0" collapsed="false">
      <c r="A33" s="4" t="s">
        <v>78</v>
      </c>
      <c r="B33" s="4" t="s">
        <v>102</v>
      </c>
      <c r="C33" s="5" t="n">
        <v>2093.2</v>
      </c>
      <c r="D33" s="4" t="s">
        <v>11</v>
      </c>
      <c r="E33" s="4" t="s">
        <v>16</v>
      </c>
      <c r="F33" s="4"/>
    </row>
    <row r="34" customFormat="false" ht="15" hidden="false" customHeight="false" outlineLevel="0" collapsed="false">
      <c r="A34" s="4" t="s">
        <v>80</v>
      </c>
      <c r="B34" s="4" t="s">
        <v>102</v>
      </c>
      <c r="C34" s="5" t="n">
        <v>2410.75</v>
      </c>
      <c r="D34" s="4" t="s">
        <v>11</v>
      </c>
      <c r="E34" s="4" t="s">
        <v>27</v>
      </c>
      <c r="F34" s="4"/>
    </row>
    <row r="36" customFormat="false" ht="15" hidden="false" customHeight="false" outlineLevel="0" collapsed="false">
      <c r="B36" s="6" t="s">
        <v>117</v>
      </c>
      <c r="C36" s="7" t="n">
        <f aca="false">SUM(C5:C34)</f>
        <v>48741.05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7.35" hidden="false" customHeight="false" outlineLevel="0" collapsed="false">
      <c r="A1" s="1" t="s">
        <v>118</v>
      </c>
      <c r="B1" s="1"/>
      <c r="C1" s="1"/>
      <c r="D1" s="1"/>
    </row>
    <row r="2" customFormat="false" ht="15" hidden="false" customHeight="false" outlineLevel="0" collapsed="false">
      <c r="A2" s="2" t="s">
        <v>119</v>
      </c>
      <c r="B2" s="2"/>
      <c r="C2" s="2"/>
      <c r="D2" s="2"/>
    </row>
    <row r="4" customFormat="false" ht="15" hidden="false" customHeight="false" outlineLevel="0" collapsed="false">
      <c r="A4" s="3" t="s">
        <v>120</v>
      </c>
      <c r="B4" s="3" t="s">
        <v>117</v>
      </c>
      <c r="C4" s="3" t="s">
        <v>94</v>
      </c>
      <c r="D4" s="3" t="s">
        <v>121</v>
      </c>
    </row>
    <row r="5" customFormat="false" ht="15" hidden="false" customHeight="false" outlineLevel="0" collapsed="false">
      <c r="A5" s="4" t="s">
        <v>122</v>
      </c>
      <c r="B5" s="5" t="n">
        <f aca="false">SUMPRODUCT((TEXT(Income!A5:A34,"YYYY-MM")="2026-05")*Income!C5:C34)</f>
        <v>23306.72</v>
      </c>
      <c r="C5" s="5" t="n">
        <f aca="false">SUMPRODUCT((TEXT(Expenses!A5:A64,"YYYY-MM")="2026-05")*Expenses!C5:C64)</f>
        <v>5261.2</v>
      </c>
      <c r="D5" s="5" t="n">
        <f aca="false">B5-C5</f>
        <v>18045.52</v>
      </c>
    </row>
    <row r="6" customFormat="false" ht="15" hidden="false" customHeight="false" outlineLevel="0" collapsed="false">
      <c r="A6" s="4" t="s">
        <v>123</v>
      </c>
      <c r="B6" s="5" t="n">
        <f aca="false">SUMPRODUCT((TEXT(Income!A5:A34,"YYYY-MM")="2026-06")*Income!C5:C34)</f>
        <v>16184.19</v>
      </c>
      <c r="C6" s="5" t="n">
        <f aca="false">SUMPRODUCT((TEXT(Expenses!A5:A64,"YYYY-MM")="2026-06")*Expenses!C5:C64)</f>
        <v>4076.14</v>
      </c>
      <c r="D6" s="5" t="n">
        <f aca="false">B6-C6</f>
        <v>12108.05</v>
      </c>
    </row>
    <row r="7" customFormat="false" ht="15" hidden="false" customHeight="false" outlineLevel="0" collapsed="false">
      <c r="A7" s="4" t="s">
        <v>124</v>
      </c>
      <c r="B7" s="5" t="n">
        <f aca="false">SUMPRODUCT((TEXT(Income!A5:A34,"YYYY-MM")="2026-07")*Income!C5:C34)</f>
        <v>9250.14</v>
      </c>
      <c r="C7" s="5" t="n">
        <f aca="false">SUMPRODUCT((TEXT(Expenses!A5:A64,"YYYY-MM")="2026-07")*Expenses!C5:C64)</f>
        <v>4060.89</v>
      </c>
      <c r="D7" s="5" t="n">
        <f aca="false">B7-C7</f>
        <v>5189.25</v>
      </c>
    </row>
    <row r="9" customFormat="false" ht="15" hidden="false" customHeight="false" outlineLevel="0" collapsed="false">
      <c r="A9" s="6" t="s">
        <v>125</v>
      </c>
      <c r="B9" s="7" t="n">
        <f aca="false">SUM(B5:B7)</f>
        <v>48741.05</v>
      </c>
      <c r="C9" s="7" t="n">
        <f aca="false">SUM(C5:C7)</f>
        <v>13398.23</v>
      </c>
      <c r="D9" s="7" t="n">
        <f aca="false">SUM(D5:D7)</f>
        <v>35342.82</v>
      </c>
    </row>
    <row r="11" customFormat="false" ht="15" hidden="false" customHeight="false" outlineLevel="0" collapsed="false">
      <c r="A11" s="2" t="s">
        <v>126</v>
      </c>
      <c r="B11" s="2"/>
      <c r="C11" s="2"/>
      <c r="D11" s="2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2026-08-11T11:42:18Z</dcterms:created>
  <dc:creator>openpyxl</dc:creator>
  <dc:description/>
  <dc:language>en-US</dc:language>
  <cp:lastModifiedBy/>
  <dcterms:modified xsi:type="dcterms:W3CDTF">2026-08-11T11:42:18Z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